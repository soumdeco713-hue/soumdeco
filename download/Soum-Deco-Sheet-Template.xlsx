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 xmlns:r="http://schemas.openxmlformats.org/officeDocument/2006/relationships" name="Statistics" sheetId="4" state="visible" r:id="rId4"/>
  </sheets>
  <definedNames/>
  <calcPr calcId="124519" fullCalcOnLoad="1"/>
</workbook>
</file>

<file path=xl/styles.xml><?xml version="1.0" encoding="utf-8"?>
<styleSheet xmlns="http://schemas.openxmlformats.org/spreadsheetml/2006/main">
  <numFmts count="2">
    <numFmt numFmtId="164" formatCode="#,##0 &quot;دج&quot;"/>
    <numFmt numFmtId="165" formatCode="0.0%"/>
  </numFmts>
  <fonts count="11">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
      <name val="Calibri"/>
      <b val="1"/>
      <color rgb="00FFFFFF"/>
      <sz val="18"/>
    </font>
    <font>
      <name val="Calibri"/>
      <b val="1"/>
      <color rgb="00FFFFFF"/>
      <sz val="13"/>
    </font>
    <font>
      <name val="Calibri"/>
      <color rgb="006B6358"/>
      <sz val="10"/>
    </font>
    <font>
      <name val="Calibri"/>
      <b val="1"/>
      <color rgb="009A7E3A"/>
      <sz val="24"/>
    </font>
    <font>
      <name val="Calibri"/>
      <b val="1"/>
      <color rgb="00FFFFFF"/>
      <sz val="11"/>
    </font>
    <font>
      <name val="Calibri"/>
      <b val="1"/>
      <color rgb="001C1815"/>
      <sz val="11"/>
    </font>
  </fonts>
  <fills count="13">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
      <patternFill patternType="solid">
        <fgColor rgb="009A7E3A"/>
        <bgColor rgb="009A7E3A"/>
      </patternFill>
    </fill>
    <fill>
      <patternFill patternType="solid">
        <fgColor rgb="003080FF"/>
        <bgColor rgb="003080FF"/>
      </patternFill>
    </fill>
    <fill>
      <patternFill patternType="solid">
        <fgColor rgb="00016630"/>
        <bgColor rgb="00016630"/>
      </patternFill>
    </fill>
    <fill>
      <patternFill patternType="solid">
        <fgColor rgb="00FFD700"/>
        <bgColor rgb="00FFD700"/>
      </patternFill>
    </fill>
    <fill>
      <patternFill patternType="solid">
        <fgColor rgb="002F7D5B"/>
        <bgColor rgb="002F7D5B"/>
      </patternFill>
    </fill>
    <fill>
      <patternFill patternType="solid">
        <fgColor rgb="00E40014"/>
        <bgColor rgb="00E40014"/>
      </patternFill>
    </fill>
  </fills>
  <borders count="4">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
      <left style="medium">
        <color rgb="009A7E3A"/>
      </left>
      <right style="thin">
        <color rgb="00D4CDBF"/>
      </right>
      <top style="thin">
        <color rgb="00D4CDBF"/>
      </top>
      <bottom style="thin">
        <color rgb="00D4CDBF"/>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xf numFmtId="0" fontId="5" fillId="2" borderId="0" applyAlignment="1" pivotButton="0" quotePrefix="0" xfId="0">
      <alignment horizontal="center" vertical="center"/>
    </xf>
    <xf numFmtId="0" fontId="6" fillId="7" borderId="0" applyAlignment="1" pivotButton="0" quotePrefix="0" xfId="0">
      <alignment horizontal="center" vertical="center"/>
    </xf>
    <xf numFmtId="0" fontId="7" fillId="4" borderId="3" pivotButton="0" quotePrefix="0" xfId="0"/>
    <xf numFmtId="0" fontId="8" fillId="4" borderId="3" applyAlignment="1" pivotButton="0" quotePrefix="0" xfId="0">
      <alignment horizontal="center" vertical="center"/>
    </xf>
    <xf numFmtId="164" fontId="8" fillId="4" borderId="3" applyAlignment="1" pivotButton="0" quotePrefix="0" xfId="0">
      <alignment horizontal="center" vertical="center"/>
    </xf>
    <xf numFmtId="0" fontId="9" fillId="2" borderId="2" applyAlignment="1" pivotButton="0" quotePrefix="0" xfId="0">
      <alignment horizontal="center" vertical="center" wrapText="1"/>
    </xf>
    <xf numFmtId="0" fontId="9" fillId="8" borderId="2" applyAlignment="1" pivotButton="0" quotePrefix="0" xfId="0">
      <alignment horizontal="center" vertical="center" wrapText="1"/>
    </xf>
    <xf numFmtId="0" fontId="3" fillId="0" borderId="2" applyAlignment="1" pivotButton="0" quotePrefix="0" xfId="0">
      <alignment horizontal="center" vertical="center" wrapText="1"/>
    </xf>
    <xf numFmtId="165" fontId="3" fillId="0" borderId="2" applyAlignment="1" pivotButton="0" quotePrefix="0" xfId="0">
      <alignment horizontal="center" vertical="center" wrapText="1"/>
    </xf>
    <xf numFmtId="164" fontId="3" fillId="0" borderId="2" applyAlignment="1" pivotButton="0" quotePrefix="0" xfId="0">
      <alignment horizontal="center" vertical="center" wrapText="1"/>
    </xf>
    <xf numFmtId="0" fontId="9" fillId="9" borderId="2" applyAlignment="1" pivotButton="0" quotePrefix="0" xfId="0">
      <alignment horizontal="center" vertical="center" wrapText="1"/>
    </xf>
    <xf numFmtId="0" fontId="10" fillId="10" borderId="2" applyAlignment="1" pivotButton="0" quotePrefix="0" xfId="0">
      <alignment horizontal="center" vertical="center" wrapText="1"/>
    </xf>
    <xf numFmtId="0" fontId="9" fillId="11" borderId="2" applyAlignment="1" pivotButton="0" quotePrefix="0" xfId="0">
      <alignment horizontal="center" vertical="center" wrapText="1"/>
    </xf>
    <xf numFmtId="0" fontId="9" fillId="12" borderId="2" applyAlignment="1" pivotButton="0" quotePrefix="0" xfId="0">
      <alignment horizontal="center" vertical="center" wrapText="1"/>
    </xf>
    <xf numFmtId="0" fontId="3" fillId="0" borderId="2" applyAlignment="1" pivotButton="0" quotePrefix="0" xfId="0">
      <alignment horizontal="left" vertical="top"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dataValidations count="1">
    <dataValidation sqref="H3:H1000 I3:I1000" showDropDown="0" showInputMessage="0" showErrorMessage="0" allowBlank="1" promptTitle="Yes / No" prompt="Click to choose: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dataValidations count="1">
    <dataValidation sqref="B3:B1000" showDropDown="0" showInputMessage="0" showErrorMessage="0" allowBlank="1" errorTitle="Invalid status" error="Please select a status from the dropdown" promptTitle="Order Status" prompt="Click to choose: New → Confirmed → Shipped → Delivered (or Cancelled)" type="list">
      <formula1>"New,Confirmed,Shipped,Delivered,Cancelled"</formula1>
    </dataValidation>
  </dataValidations>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xl/worksheets/sheet4.xml><?xml version="1.0" encoding="utf-8"?>
<worksheet xmlns="http://schemas.openxmlformats.org/spreadsheetml/2006/main">
  <sheetPr>
    <tabColor rgb="009A7E3A"/>
    <outlinePr summaryBelow="1" summaryRight="1"/>
    <pageSetUpPr/>
  </sheetPr>
  <dimension ref="A1:F47"/>
  <sheetViews>
    <sheetView showGridLines="0" workbookViewId="0">
      <selection activeCell="A1" sqref="A1"/>
    </sheetView>
  </sheetViews>
  <sheetFormatPr baseColWidth="8" defaultRowHeight="15"/>
  <cols>
    <col width="35" customWidth="1" min="1" max="1"/>
    <col width="18" customWidth="1" min="2" max="2"/>
    <col width="18" customWidth="1" min="3" max="3"/>
    <col width="18" customWidth="1" min="4" max="4"/>
    <col width="18" customWidth="1" min="5" max="5"/>
    <col width="18" customWidth="1" min="6" max="6"/>
  </cols>
  <sheetData>
    <row r="1" ht="40" customHeight="1">
      <c r="A1" s="8" t="inlineStr">
        <is>
          <t>📊 لوحة الإحصائيات · Tableau de bord</t>
        </is>
      </c>
    </row>
    <row r="3" ht="28" customHeight="1">
      <c r="A3" s="9" t="inlineStr">
        <is>
          <t>🔑 المؤشرات الرئيسية · Indicateurs clés</t>
        </is>
      </c>
    </row>
    <row r="4" ht="20" customHeight="1">
      <c r="A4" s="10" t="inlineStr">
        <is>
          <t>📦 إجمالي الطلبات</t>
        </is>
      </c>
      <c r="B4" s="10" t="inlineStr">
        <is>
          <t>💰 إجمالي المبيعات</t>
        </is>
      </c>
      <c r="C4" s="10" t="inlineStr">
        <is>
          <t>🚚 إجمالي التوصيل</t>
        </is>
      </c>
      <c r="D4" s="10" t="inlineStr">
        <is>
          <t>📈 متوسط قيمة الطلب</t>
        </is>
      </c>
      <c r="E4" s="10" t="inlineStr">
        <is>
          <t>🆕 طلبات جديدة</t>
        </is>
      </c>
      <c r="F4" s="10" t="inlineStr">
        <is>
          <t>✅ طلبات مكتملة</t>
        </is>
      </c>
    </row>
    <row r="5" ht="40" customHeight="1">
      <c r="A5" s="11">
        <f>COUNTA(Orders!C3:C10000)</f>
        <v/>
      </c>
      <c r="B5" s="12">
        <f>SUMIFS(Orders!G3:G10000,Orders!B3:B10000,"&lt;&gt;Cancelled")</f>
        <v/>
      </c>
      <c r="C5" s="12">
        <f>SUMIFS(Orders!F3:F10000,Orders!B3:B10000,"&lt;&gt;Cancelled")</f>
        <v/>
      </c>
      <c r="D5" s="12">
        <f>IFERROR(AVERAGEIFS(Orders!G3:G10000,Orders!B3:B10000,"&lt;&gt;Cancelled"),0)</f>
        <v/>
      </c>
      <c r="E5" s="11">
        <f>COUNTIF(Orders!B3:B10000,"New")</f>
        <v/>
      </c>
      <c r="F5" s="11">
        <f>COUNTIF(Orders!B3:B10000,"Delivered")</f>
        <v/>
      </c>
    </row>
    <row r="7" ht="28" customHeight="1">
      <c r="A7" s="9" t="inlineStr">
        <is>
          <t>📋 تفصيل الطلبات · Statut des commandes</t>
        </is>
      </c>
    </row>
    <row r="8">
      <c r="A8" s="13" t="inlineStr">
        <is>
          <t>الحالة · Statut</t>
        </is>
      </c>
      <c r="B8" s="13" t="inlineStr">
        <is>
          <t>العدد · Nombre</t>
        </is>
      </c>
      <c r="C8" s="13" t="inlineStr">
        <is>
          <t>النسبة · %</t>
        </is>
      </c>
      <c r="D8" s="13" t="inlineStr">
        <is>
          <t>المبلغ · Montant</t>
        </is>
      </c>
    </row>
    <row r="9">
      <c r="A9" s="14" t="inlineStr">
        <is>
          <t>🆕 New</t>
        </is>
      </c>
      <c r="B9" s="15">
        <f>COUNTIF(Orders!B3:B10000,"New")</f>
        <v/>
      </c>
      <c r="C9" s="16">
        <f>IFERROR(B9/SUM($B$9:$B$13),0)</f>
        <v/>
      </c>
      <c r="D9" s="17">
        <f>SUMIFS(Orders!G3:G10000,Orders!B3:B10000,"New")</f>
        <v/>
      </c>
    </row>
    <row r="10">
      <c r="A10" s="18" t="inlineStr">
        <is>
          <t>✅ Confirmed</t>
        </is>
      </c>
      <c r="B10" s="15">
        <f>COUNTIF(Orders!B3:B10000,"Confirmed")</f>
        <v/>
      </c>
      <c r="C10" s="16">
        <f>IFERROR(B10/SUM($B$9:$B$13),0)</f>
        <v/>
      </c>
      <c r="D10" s="17">
        <f>SUMIFS(Orders!G3:G10000,Orders!B3:B10000,"Confirmed")</f>
        <v/>
      </c>
    </row>
    <row r="11">
      <c r="A11" s="19" t="inlineStr">
        <is>
          <t>🚚 Shipped</t>
        </is>
      </c>
      <c r="B11" s="15">
        <f>COUNTIF(Orders!B3:B10000,"Shipped")</f>
        <v/>
      </c>
      <c r="C11" s="16">
        <f>IFERROR(B11/SUM($B$9:$B$13),0)</f>
        <v/>
      </c>
      <c r="D11" s="17">
        <f>SUMIFS(Orders!G3:G10000,Orders!B3:B10000,"Shipped")</f>
        <v/>
      </c>
    </row>
    <row r="12">
      <c r="A12" s="20" t="inlineStr">
        <is>
          <t>📦 Delivered</t>
        </is>
      </c>
      <c r="B12" s="15">
        <f>COUNTIF(Orders!B3:B10000,"Delivered")</f>
        <v/>
      </c>
      <c r="C12" s="16">
        <f>IFERROR(B12/SUM($B$9:$B$13),0)</f>
        <v/>
      </c>
      <c r="D12" s="17">
        <f>SUMIFS(Orders!G3:G10000,Orders!B3:B10000,"Delivered")</f>
        <v/>
      </c>
    </row>
    <row r="13">
      <c r="A13" s="21" t="inlineStr">
        <is>
          <t>❌ Cancelled</t>
        </is>
      </c>
      <c r="B13" s="15">
        <f>COUNTIF(Orders!B3:B10000,"Cancelled")</f>
        <v/>
      </c>
      <c r="C13" s="16">
        <f>IFERROR(B13/SUM($B$9:$B$13),0)</f>
        <v/>
      </c>
      <c r="D13" s="17">
        <f>SUMIFS(Orders!G3:G10000,Orders!B3:B10000,"Cancelled")</f>
        <v/>
      </c>
    </row>
    <row r="15" ht="28" customHeight="1">
      <c r="A15" s="9" t="inlineStr">
        <is>
          <t>🏆 المنتجات الأكثر مبيعاً · Top produits</t>
        </is>
      </c>
    </row>
    <row r="16">
      <c r="A16" s="13" t="inlineStr">
        <is>
          <t>المنتج · Produit</t>
        </is>
      </c>
      <c r="B16" s="13" t="inlineStr">
        <is>
          <t>الكمية المباعة · Qty</t>
        </is>
      </c>
      <c r="C16" s="13" t="inlineStr">
        <is>
          <t>الإيراد · Revenu</t>
        </is>
      </c>
      <c r="D16" s="13" t="inlineStr">
        <is>
          <t>النسبة · %</t>
        </is>
      </c>
    </row>
    <row r="17">
      <c r="A17" s="22" t="inlineStr">
        <is>
          <t>1. Service a table Blanc Luxe</t>
        </is>
      </c>
      <c r="B17" s="15">
        <f>COUNTIF(Orders!C3:C10000,"*Service a table Blanc Luxe*")</f>
        <v/>
      </c>
      <c r="C17" s="17">
        <f>SUMIFS(Orders!G3:G10000,Orders!C3:C10000,"*Service a table Blanc Luxe*")</f>
        <v/>
      </c>
      <c r="D17" s="16">
        <f>IFERROR(C17/SUMIFS(Orders!G3:G10000,Orders!B3:B10000,"&lt;&gt;Cancelled"),0)</f>
        <v/>
      </c>
    </row>
    <row r="18">
      <c r="A18" s="22" t="inlineStr">
        <is>
          <t>2. Service a table Blanc luxe doré</t>
        </is>
      </c>
      <c r="B18" s="15">
        <f>COUNTIF(Orders!C3:C10000,"*Service a table Blanc luxe doré*")</f>
        <v/>
      </c>
      <c r="C18" s="17">
        <f>SUMIFS(Orders!G3:G10000,Orders!C3:C10000,"*Service a table Blanc luxe doré*")</f>
        <v/>
      </c>
      <c r="D18" s="16">
        <f>IFERROR(C18/SUMIFS(Orders!G3:G10000,Orders!B3:B10000,"&lt;&gt;Cancelled"),0)</f>
        <v/>
      </c>
    </row>
    <row r="19">
      <c r="A19" s="22" t="inlineStr">
        <is>
          <t>3. Service a table Blanc luxe avec reliefs</t>
        </is>
      </c>
      <c r="B19" s="15">
        <f>COUNTIF(Orders!C3:C10000,"*Service a table Blanc luxe avec reliefs*")</f>
        <v/>
      </c>
      <c r="C19" s="17">
        <f>SUMIFS(Orders!G3:G10000,Orders!C3:C10000,"*Service a table Blanc luxe avec reliefs*")</f>
        <v/>
      </c>
      <c r="D19" s="16">
        <f>IFERROR(C19/SUMIFS(Orders!G3:G10000,Orders!B3:B10000,"&lt;&gt;Cancelled"),0)</f>
        <v/>
      </c>
    </row>
    <row r="20">
      <c r="A20" s="22" t="inlineStr">
        <is>
          <t>4. Service a table Blanc cassé gris</t>
        </is>
      </c>
      <c r="B20" s="15">
        <f>COUNTIF(Orders!C3:C10000,"*Service a table Blanc cassé gris*")</f>
        <v/>
      </c>
      <c r="C20" s="17">
        <f>SUMIFS(Orders!G3:G10000,Orders!C3:C10000,"*Service a table Blanc cassé gris*")</f>
        <v/>
      </c>
      <c r="D20" s="16">
        <f>IFERROR(C20/SUMIFS(Orders!G3:G10000,Orders!B3:B10000,"&lt;&gt;Cancelled"),0)</f>
        <v/>
      </c>
    </row>
    <row r="21">
      <c r="A21" s="22" t="inlineStr">
        <is>
          <t>5. Service a table beige luxe</t>
        </is>
      </c>
      <c r="B21" s="15">
        <f>COUNTIF(Orders!C3:C10000,"*Service a table beige luxe*")</f>
        <v/>
      </c>
      <c r="C21" s="17">
        <f>SUMIFS(Orders!G3:G10000,Orders!C3:C10000,"*Service a table beige luxe*")</f>
        <v/>
      </c>
      <c r="D21" s="16">
        <f>IFERROR(C21/SUMIFS(Orders!G3:G10000,Orders!B3:B10000,"&lt;&gt;Cancelled"),0)</f>
        <v/>
      </c>
    </row>
    <row r="22">
      <c r="A22" s="22" t="inlineStr">
        <is>
          <t>6. Service a café au lait A</t>
        </is>
      </c>
      <c r="B22" s="15">
        <f>COUNTIF(Orders!C3:C10000,"*Service a café au lait A*")</f>
        <v/>
      </c>
      <c r="C22" s="17">
        <f>SUMIFS(Orders!G3:G10000,Orders!C3:C10000,"*Service a café au lait A*")</f>
        <v/>
      </c>
      <c r="D22" s="16">
        <f>IFERROR(C22/SUMIFS(Orders!G3:G10000,Orders!B3:B10000,"&lt;&gt;Cancelled"),0)</f>
        <v/>
      </c>
    </row>
    <row r="23">
      <c r="A23" s="22" t="inlineStr">
        <is>
          <t>7. Service a table avec motifs</t>
        </is>
      </c>
      <c r="B23" s="15">
        <f>COUNTIF(Orders!C3:C10000,"*Service a table avec motifs*")</f>
        <v/>
      </c>
      <c r="C23" s="17">
        <f>SUMIFS(Orders!G3:G10000,Orders!C3:C10000,"*Service a table avec motifs*")</f>
        <v/>
      </c>
      <c r="D23" s="16">
        <f>IFERROR(C23/SUMIFS(Orders!G3:G10000,Orders!B3:B10000,"&lt;&gt;Cancelled"),0)</f>
        <v/>
      </c>
    </row>
    <row r="24">
      <c r="A24" s="22" t="inlineStr">
        <is>
          <t>8. Service a table motif gris</t>
        </is>
      </c>
      <c r="B24" s="15">
        <f>COUNTIF(Orders!C3:C10000,"*Service a table motif gris*")</f>
        <v/>
      </c>
      <c r="C24" s="17">
        <f>SUMIFS(Orders!G3:G10000,Orders!C3:C10000,"*Service a table motif gris*")</f>
        <v/>
      </c>
      <c r="D24" s="16">
        <f>IFERROR(C24/SUMIFS(Orders!G3:G10000,Orders!B3:B10000,"&lt;&gt;Cancelled"),0)</f>
        <v/>
      </c>
    </row>
    <row r="25">
      <c r="A25" s="22" t="inlineStr">
        <is>
          <t>9. Service a table Blue</t>
        </is>
      </c>
      <c r="B25" s="15">
        <f>COUNTIF(Orders!C3:C10000,"*Service a table Blue*")</f>
        <v/>
      </c>
      <c r="C25" s="17">
        <f>SUMIFS(Orders!G3:G10000,Orders!C3:C10000,"*Service a table Blue*")</f>
        <v/>
      </c>
      <c r="D25" s="16">
        <f>IFERROR(C25/SUMIFS(Orders!G3:G10000,Orders!B3:B10000,"&lt;&gt;Cancelled"),0)</f>
        <v/>
      </c>
    </row>
    <row r="26">
      <c r="A26" s="22" t="inlineStr">
        <is>
          <t>10. Service a table Blanc luxe doré ref02</t>
        </is>
      </c>
      <c r="B26" s="15">
        <f>COUNTIF(Orders!C3:C10000,"*Service a table Blanc luxe doré ref02*")</f>
        <v/>
      </c>
      <c r="C26" s="17">
        <f>SUMIFS(Orders!G3:G10000,Orders!C3:C10000,"*Service a table Blanc luxe doré ref02*")</f>
        <v/>
      </c>
      <c r="D26" s="16">
        <f>IFERROR(C26/SUMIFS(Orders!G3:G10000,Orders!B3:B10000,"&lt;&gt;Cancelled"),0)</f>
        <v/>
      </c>
    </row>
    <row r="28" ht="28" customHeight="1">
      <c r="A28" s="9" t="inlineStr">
        <is>
          <t>🚚 شركات التوصيل · Sociétés de livraison</t>
        </is>
      </c>
    </row>
    <row r="29">
      <c r="A29" s="13" t="inlineStr">
        <is>
          <t>الشركة · Société</t>
        </is>
      </c>
      <c r="B29" s="13" t="inlineStr">
        <is>
          <t>الطلبات · Commandes</t>
        </is>
      </c>
      <c r="C29" s="13" t="inlineStr">
        <is>
          <t>الإيراد · Revenu</t>
        </is>
      </c>
    </row>
    <row r="30">
      <c r="A30" s="22" t="inlineStr">
        <is>
          <t>ZR Express</t>
        </is>
      </c>
      <c r="B30" s="15">
        <f>COUNTIF(Orders!M3:M10000,"ZR Express")</f>
        <v/>
      </c>
      <c r="C30" s="17">
        <f>SUMIFS(Orders!G3:G10000,Orders!M3:M10000,"ZR Express")</f>
        <v/>
      </c>
    </row>
    <row r="31">
      <c r="A31" s="22" t="inlineStr">
        <is>
          <t>Ecom Delivery</t>
        </is>
      </c>
      <c r="B31" s="15">
        <f>COUNTIF(Orders!M3:M10000,"Ecom Delivery")</f>
        <v/>
      </c>
      <c r="C31" s="17">
        <f>SUMIFS(Orders!G3:G10000,Orders!M3:M10000,"Ecom Delivery")</f>
        <v/>
      </c>
    </row>
    <row r="33" ht="28" customHeight="1">
      <c r="A33" s="9" t="inlineStr">
        <is>
          <t>🏠 طرق التوصيل · Modes de livraison</t>
        </is>
      </c>
    </row>
    <row r="34">
      <c r="A34" s="13" t="inlineStr">
        <is>
          <t>الطريقة · Mode</t>
        </is>
      </c>
      <c r="B34" s="13" t="inlineStr">
        <is>
          <t>الطلبات · Commandes</t>
        </is>
      </c>
      <c r="C34" s="13" t="inlineStr">
        <is>
          <t>الإيراد · Revenu</t>
        </is>
      </c>
    </row>
    <row r="35">
      <c r="A35" s="22" t="inlineStr">
        <is>
          <t>مكتب التوصيل (Stop Desk)</t>
        </is>
      </c>
      <c r="B35" s="15">
        <f>COUNTIF(Orders!L3:L10000,"مكتب التوصيل")</f>
        <v/>
      </c>
      <c r="C35" s="17">
        <f>SUMIFS(Orders!G3:G10000,Orders!L3:L10000,"مكتب التوصيل")</f>
        <v/>
      </c>
    </row>
    <row r="36">
      <c r="A36" s="22" t="inlineStr">
        <is>
          <t>توصيل للمنزل (Home)</t>
        </is>
      </c>
      <c r="B36" s="15">
        <f>COUNTIF(Orders!L3:L10000,"توصيل للمنزل")</f>
        <v/>
      </c>
      <c r="C36" s="17">
        <f>SUMIFS(Orders!G3:G10000,Orders!L3:L10000,"توصيل للمنزل")</f>
        <v/>
      </c>
    </row>
    <row r="38" ht="28" customHeight="1">
      <c r="A38" s="9" t="inlineStr">
        <is>
          <t>📍 الولايات الأكثر طلباً · Wilayas les plus actives</t>
        </is>
      </c>
    </row>
    <row r="39">
      <c r="A39" s="13" t="inlineStr">
        <is>
          <t>الولاية · Wilaya</t>
        </is>
      </c>
      <c r="B39" s="13" t="inlineStr">
        <is>
          <t>الطلبات · Commandes</t>
        </is>
      </c>
      <c r="C39" s="13" t="inlineStr">
        <is>
          <t>الإيراد · Revenu</t>
        </is>
      </c>
    </row>
    <row r="40">
      <c r="A40" s="22" t="inlineStr">
        <is>
          <t>16 - Alger</t>
        </is>
      </c>
      <c r="B40" s="15">
        <f>COUNTIF(Orders!J3:J10000,"16 - Alger")</f>
        <v/>
      </c>
      <c r="C40" s="17">
        <f>SUMIFS(Orders!G3:G10000,Orders!J3:J10000,"16 - Alger")</f>
        <v/>
      </c>
    </row>
    <row r="41">
      <c r="A41" s="22" t="inlineStr">
        <is>
          <t>31 - Oran</t>
        </is>
      </c>
      <c r="B41" s="15">
        <f>COUNTIF(Orders!J3:J10000,"31 - Oran")</f>
        <v/>
      </c>
      <c r="C41" s="17">
        <f>SUMIFS(Orders!G3:G10000,Orders!J3:J10000,"31 - Oran")</f>
        <v/>
      </c>
    </row>
    <row r="42">
      <c r="A42" s="22" t="inlineStr">
        <is>
          <t>25 - Constantine</t>
        </is>
      </c>
      <c r="B42" s="15">
        <f>COUNTIF(Orders!J3:J10000,"25 - Constantine")</f>
        <v/>
      </c>
      <c r="C42" s="17">
        <f>SUMIFS(Orders!G3:G10000,Orders!J3:J10000,"25 - Constantine")</f>
        <v/>
      </c>
    </row>
    <row r="43">
      <c r="A43" s="22" t="inlineStr">
        <is>
          <t>23 - Annaba</t>
        </is>
      </c>
      <c r="B43" s="15">
        <f>COUNTIF(Orders!J3:J10000,"23 - Annaba")</f>
        <v/>
      </c>
      <c r="C43" s="17">
        <f>SUMIFS(Orders!G3:G10000,Orders!J3:J10000,"23 - Annaba")</f>
        <v/>
      </c>
    </row>
    <row r="44">
      <c r="A44" s="22" t="inlineStr">
        <is>
          <t>06 - Béjaïa</t>
        </is>
      </c>
      <c r="B44" s="15">
        <f>COUNTIF(Orders!J3:J10000,"06 - Béjaïa")</f>
        <v/>
      </c>
      <c r="C44" s="17">
        <f>SUMIFS(Orders!G3:G10000,Orders!J3:J10000,"06 - Béjaïa")</f>
        <v/>
      </c>
    </row>
    <row r="45">
      <c r="A45" s="22" t="inlineStr">
        <is>
          <t>15 - Tizi Ouzou</t>
        </is>
      </c>
      <c r="B45" s="15">
        <f>COUNTIF(Orders!J3:J10000,"15 - Tizi Ouzou")</f>
        <v/>
      </c>
      <c r="C45" s="17">
        <f>SUMIFS(Orders!G3:G10000,Orders!J3:J10000,"15 - Tizi Ouzou")</f>
        <v/>
      </c>
    </row>
    <row r="46">
      <c r="A46" s="22" t="inlineStr">
        <is>
          <t>19 - Sétif</t>
        </is>
      </c>
      <c r="B46" s="15">
        <f>COUNTIF(Orders!J3:J10000,"19 - Sétif")</f>
        <v/>
      </c>
      <c r="C46" s="17">
        <f>SUMIFS(Orders!G3:G10000,Orders!J3:J10000,"19 - Sétif")</f>
        <v/>
      </c>
    </row>
    <row r="47">
      <c r="A47" s="22" t="inlineStr">
        <is>
          <t>09 - Blida</t>
        </is>
      </c>
      <c r="B47" s="15">
        <f>COUNTIF(Orders!J3:J10000,"09 - Blida")</f>
        <v/>
      </c>
      <c r="C47" s="17">
        <f>SUMIFS(Orders!G3:G10000,Orders!J3:J10000,"09 - Blida")</f>
        <v/>
      </c>
    </row>
  </sheetData>
  <mergeCells count="7">
    <mergeCell ref="A38:F38"/>
    <mergeCell ref="A33:F33"/>
    <mergeCell ref="A28:F28"/>
    <mergeCell ref="A1:F1"/>
    <mergeCell ref="A3:F3"/>
    <mergeCell ref="A15:F1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2026-08-09T14:07:40Z</dcterms:created>
  <dcterms:modified xmlns:dcterms="http://purl.org/dc/terms/" xmlns:xsi="http://www.w3.org/2001/XMLSchema-instance" xsi:type="dcterms:W3CDTF">2026-08-09T14:07:40Z</dcterms:modified>
</cp:coreProperties>
</file>